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utt\OneDrive\Escritorio\Cambiar de carrera\Proyecto final de la carrera\"/>
    </mc:Choice>
  </mc:AlternateContent>
  <xr:revisionPtr revIDLastSave="0" documentId="13_ncr:1_{640D75B8-6ABF-47DB-A0A4-B4D1A85C8A9E}" xr6:coauthVersionLast="47" xr6:coauthVersionMax="47" xr10:uidLastSave="{00000000-0000-0000-0000-000000000000}"/>
  <bookViews>
    <workbookView xWindow="-120" yWindow="-120" windowWidth="29040" windowHeight="15720" xr2:uid="{1227E82E-3734-4FF1-B45D-204362D5AA9B}"/>
  </bookViews>
  <sheets>
    <sheet name="Cos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1" l="1"/>
  <c r="N12" i="1" s="1"/>
  <c r="T12" i="1" s="1"/>
  <c r="L6" i="1"/>
  <c r="L7" i="1"/>
  <c r="L8" i="1"/>
  <c r="L9" i="1"/>
  <c r="L10" i="1"/>
  <c r="L11" i="1"/>
  <c r="S7" i="1"/>
  <c r="S8" i="1"/>
  <c r="S9" i="1" s="1"/>
</calcChain>
</file>

<file path=xl/sharedStrings.xml><?xml version="1.0" encoding="utf-8"?>
<sst xmlns="http://schemas.openxmlformats.org/spreadsheetml/2006/main" count="42" uniqueCount="39">
  <si>
    <t>Requisitos funcionales</t>
  </si>
  <si>
    <t>Tiempo empleado</t>
  </si>
  <si>
    <t>Estimación de tiempo</t>
  </si>
  <si>
    <t>Semana</t>
  </si>
  <si>
    <t>5 - 7 días</t>
  </si>
  <si>
    <t>8 - 12 días</t>
  </si>
  <si>
    <t>4 - 10 días</t>
  </si>
  <si>
    <t>2 - 4 días</t>
  </si>
  <si>
    <t>5 - 10 días</t>
  </si>
  <si>
    <t>7 - 14 días</t>
  </si>
  <si>
    <t>10 - 20 días</t>
  </si>
  <si>
    <t>TOTALIDAD DE DÍAS EMPLEADOS</t>
  </si>
  <si>
    <t xml:space="preserve"> 1 Semana</t>
  </si>
  <si>
    <t>1 semana y media</t>
  </si>
  <si>
    <t>1 A 2 Semanas</t>
  </si>
  <si>
    <t>Media semana</t>
  </si>
  <si>
    <t>2 Semanas</t>
  </si>
  <si>
    <t>2 A 4 Semanas</t>
  </si>
  <si>
    <t>14 Semanas</t>
  </si>
  <si>
    <t>100 Días</t>
  </si>
  <si>
    <t>Total</t>
  </si>
  <si>
    <t>Costos totales (estimados) en una jornada de 8 horas</t>
  </si>
  <si>
    <t>Requerimientos en hardware</t>
  </si>
  <si>
    <t>Mensual</t>
  </si>
  <si>
    <t>Servidor Virtual</t>
  </si>
  <si>
    <t xml:space="preserve">Base de Datos </t>
  </si>
  <si>
    <t>Ancho de Banda</t>
  </si>
  <si>
    <t>Costos (pueden variar según el año)</t>
  </si>
  <si>
    <t>Subtotal</t>
  </si>
  <si>
    <t>Total mensual</t>
  </si>
  <si>
    <t>Total (Periodo de 3 meses)</t>
  </si>
  <si>
    <t>Nombre proyecto - Objetivo general - Objetivos especí­ficos - Planteamiento del problema y pregunta problema - Alcance del proyecto - Justificación</t>
  </si>
  <si>
    <t>En el proyecto se evidencian la elaboración del mapa de procesos que implica el sistema de información (BPMN del proceso de negocio, no del aplicativo a desarrollar)</t>
  </si>
  <si>
    <t xml:space="preserve">	En el proyecto se evidencian técnicas de recolección de información y análisis de resultados estadística descriptiva (Si aplica, dependiendo de la técnica a usar).</t>
  </si>
  <si>
    <t>En el proyecto se evidencian los requerimientos funcionales y no funcionales usando el estándar IEEE Std 830-1998, IEEE 1233-1998, IEEE 29148:2018 o historias de usuario (Scrum)</t>
  </si>
  <si>
    <t xml:space="preserve">En el proyecto se evidencia el diagrama de casos de uso y documentación de casos de uso (formato de casos de uso extendido) de acuerdo con el refinamiento de requisitos. </t>
  </si>
  <si>
    <t>En el proyecto se evidencia validación de requerimientos (Realización de un prototipo usando mockups o wireframes)</t>
  </si>
  <si>
    <t>En el proyecto se evidencia el uso de sistemas de control de versiones (Opcional)</t>
  </si>
  <si>
    <t>TOTAL NETO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</si>
</sst>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[$$-240A]\ * #,##0_-;\-[$$-240A]\ * #,##0_-;_-[$$-240A]\ * &quot;-&quot;??_-;_-@_-"/>
    <numFmt numFmtId="165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9">
    <xf numFmtId="0" fontId="0" fillId="0" borderId="0" xfId="0"/>
    <xf numFmtId="0" fontId="0" fillId="2" borderId="0" xfId="0" applyFill="1"/>
    <xf numFmtId="0" fontId="0" fillId="2" borderId="0" xfId="0" applyFill="1" applyBorder="1" applyAlignment="1">
      <alignment horizontal="center" wrapText="1"/>
    </xf>
    <xf numFmtId="0" fontId="0" fillId="2" borderId="1" xfId="0" applyFill="1" applyBorder="1"/>
    <xf numFmtId="164" fontId="0" fillId="2" borderId="3" xfId="0" applyNumberForma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vertical="center"/>
    </xf>
    <xf numFmtId="164" fontId="0" fillId="2" borderId="0" xfId="0" applyNumberFormat="1" applyFill="1"/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5" fontId="0" fillId="2" borderId="1" xfId="1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165" fontId="0" fillId="2" borderId="1" xfId="1" applyNumberFormat="1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/>
    </xf>
    <xf numFmtId="164" fontId="0" fillId="2" borderId="1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241D9-EE4E-47E7-8692-6A03ABDF6A4A}">
  <dimension ref="A1:X16"/>
  <sheetViews>
    <sheetView tabSelected="1" workbookViewId="0">
      <selection activeCell="R11" sqref="R11"/>
    </sheetView>
  </sheetViews>
  <sheetFormatPr baseColWidth="10" defaultRowHeight="15" x14ac:dyDescent="0.25"/>
  <cols>
    <col min="5" max="5" width="16.42578125" customWidth="1"/>
    <col min="13" max="14" width="12" bestFit="1" customWidth="1"/>
    <col min="19" max="19" width="12" bestFit="1" customWidth="1"/>
    <col min="20" max="20" width="18.140625" customWidth="1"/>
    <col min="22" max="22" width="12" bestFit="1" customWidth="1"/>
  </cols>
  <sheetData>
    <row r="1" spans="1:2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" customHeight="1" x14ac:dyDescent="0.25">
      <c r="A2" s="1"/>
      <c r="B2" s="12" t="s">
        <v>0</v>
      </c>
      <c r="C2" s="12"/>
      <c r="D2" s="12"/>
      <c r="E2" s="12"/>
      <c r="F2" s="11" t="s">
        <v>1</v>
      </c>
      <c r="G2" s="11"/>
      <c r="H2" s="11"/>
      <c r="I2" s="11"/>
      <c r="J2" s="11"/>
      <c r="K2" s="11"/>
      <c r="L2" s="25" t="s">
        <v>21</v>
      </c>
      <c r="M2" s="26"/>
      <c r="N2" s="27"/>
      <c r="O2" s="2"/>
      <c r="P2" s="12" t="s">
        <v>22</v>
      </c>
      <c r="Q2" s="12"/>
      <c r="R2" s="12"/>
      <c r="S2" s="12" t="s">
        <v>27</v>
      </c>
      <c r="T2" s="12"/>
      <c r="U2" s="1"/>
      <c r="V2" s="1"/>
      <c r="W2" s="1"/>
      <c r="X2" s="1"/>
    </row>
    <row r="3" spans="1:24" x14ac:dyDescent="0.25">
      <c r="A3" s="1"/>
      <c r="B3" s="12"/>
      <c r="C3" s="12"/>
      <c r="D3" s="12"/>
      <c r="E3" s="12"/>
      <c r="F3" s="11" t="s">
        <v>2</v>
      </c>
      <c r="G3" s="11"/>
      <c r="H3" s="11"/>
      <c r="I3" s="19" t="s">
        <v>3</v>
      </c>
      <c r="J3" s="20"/>
      <c r="K3" s="21"/>
      <c r="L3" s="28"/>
      <c r="M3" s="29"/>
      <c r="N3" s="30"/>
      <c r="O3" s="1"/>
      <c r="P3" s="12"/>
      <c r="Q3" s="12"/>
      <c r="R3" s="12"/>
      <c r="S3" s="12"/>
      <c r="T3" s="12"/>
      <c r="U3" s="1"/>
      <c r="V3" s="1"/>
      <c r="W3" s="1"/>
      <c r="X3" s="1"/>
    </row>
    <row r="4" spans="1:24" x14ac:dyDescent="0.25">
      <c r="A4" s="1"/>
      <c r="B4" s="12"/>
      <c r="C4" s="12"/>
      <c r="D4" s="12"/>
      <c r="E4" s="12"/>
      <c r="F4" s="11"/>
      <c r="G4" s="11"/>
      <c r="H4" s="11"/>
      <c r="I4" s="22"/>
      <c r="J4" s="23"/>
      <c r="K4" s="24"/>
      <c r="L4" s="31">
        <v>24160</v>
      </c>
      <c r="M4" s="31"/>
      <c r="N4" s="31"/>
      <c r="O4" s="1"/>
      <c r="P4" s="3" t="s">
        <v>23</v>
      </c>
      <c r="Q4" s="11" t="s">
        <v>24</v>
      </c>
      <c r="R4" s="11"/>
      <c r="S4" s="13">
        <v>1043187.5</v>
      </c>
      <c r="T4" s="13"/>
      <c r="U4" s="1"/>
      <c r="V4" s="1"/>
      <c r="W4" s="1"/>
      <c r="X4" s="1"/>
    </row>
    <row r="5" spans="1:24" ht="74.25" customHeight="1" x14ac:dyDescent="0.25">
      <c r="A5" s="1"/>
      <c r="B5" s="33" t="s">
        <v>31</v>
      </c>
      <c r="C5" s="34"/>
      <c r="D5" s="34"/>
      <c r="E5" s="35"/>
      <c r="F5" s="12" t="s">
        <v>4</v>
      </c>
      <c r="G5" s="12"/>
      <c r="H5" s="12"/>
      <c r="I5" s="12" t="s">
        <v>12</v>
      </c>
      <c r="J5" s="12"/>
      <c r="K5" s="12"/>
      <c r="L5" s="17">
        <f>7*4*L4</f>
        <v>676480</v>
      </c>
      <c r="M5" s="17"/>
      <c r="N5" s="17"/>
      <c r="O5" s="1"/>
      <c r="P5" s="3" t="s">
        <v>23</v>
      </c>
      <c r="Q5" s="11" t="s">
        <v>25</v>
      </c>
      <c r="R5" s="11"/>
      <c r="S5" s="10">
        <v>625612.31999999995</v>
      </c>
      <c r="T5" s="10"/>
      <c r="U5" s="1"/>
      <c r="V5" s="1"/>
      <c r="W5" s="1"/>
      <c r="X5" s="1"/>
    </row>
    <row r="6" spans="1:24" ht="63" customHeight="1" x14ac:dyDescent="0.25">
      <c r="A6" s="1"/>
      <c r="B6" s="36" t="s">
        <v>32</v>
      </c>
      <c r="C6" s="37"/>
      <c r="D6" s="37"/>
      <c r="E6" s="38"/>
      <c r="F6" s="12" t="s">
        <v>5</v>
      </c>
      <c r="G6" s="12"/>
      <c r="H6" s="12"/>
      <c r="I6" s="12" t="s">
        <v>13</v>
      </c>
      <c r="J6" s="12"/>
      <c r="K6" s="12"/>
      <c r="L6" s="17">
        <f>12*4*L4</f>
        <v>1159680</v>
      </c>
      <c r="M6" s="17"/>
      <c r="N6" s="17"/>
      <c r="O6" s="1"/>
      <c r="P6" s="3" t="s">
        <v>23</v>
      </c>
      <c r="Q6" s="11" t="s">
        <v>26</v>
      </c>
      <c r="R6" s="11"/>
      <c r="S6" s="10">
        <v>150000</v>
      </c>
      <c r="T6" s="10"/>
      <c r="U6" s="1"/>
      <c r="V6" s="1"/>
      <c r="W6" s="1"/>
      <c r="X6" s="1"/>
    </row>
    <row r="7" spans="1:24" ht="65.25" customHeight="1" x14ac:dyDescent="0.25">
      <c r="A7" s="1"/>
      <c r="B7" s="36" t="s">
        <v>33</v>
      </c>
      <c r="C7" s="37"/>
      <c r="D7" s="37"/>
      <c r="E7" s="38"/>
      <c r="F7" s="12" t="s">
        <v>6</v>
      </c>
      <c r="G7" s="12"/>
      <c r="H7" s="12"/>
      <c r="I7" s="12" t="s">
        <v>14</v>
      </c>
      <c r="J7" s="12"/>
      <c r="K7" s="12"/>
      <c r="L7" s="17">
        <f>10*4*L4</f>
        <v>966400</v>
      </c>
      <c r="M7" s="17"/>
      <c r="N7" s="17"/>
      <c r="O7" s="1"/>
      <c r="P7" s="8" t="s">
        <v>28</v>
      </c>
      <c r="Q7" s="8"/>
      <c r="R7" s="8"/>
      <c r="S7" s="9">
        <f>SUM(S4:T6)</f>
        <v>1818799.8199999998</v>
      </c>
      <c r="T7" s="8"/>
      <c r="U7" s="1"/>
      <c r="V7" s="1"/>
      <c r="W7" s="1"/>
      <c r="X7" s="1"/>
    </row>
    <row r="8" spans="1:24" ht="73.5" customHeight="1" x14ac:dyDescent="0.25">
      <c r="A8" s="1"/>
      <c r="B8" s="36" t="s">
        <v>34</v>
      </c>
      <c r="C8" s="37"/>
      <c r="D8" s="37"/>
      <c r="E8" s="38"/>
      <c r="F8" s="12" t="s">
        <v>7</v>
      </c>
      <c r="G8" s="12"/>
      <c r="H8" s="12"/>
      <c r="I8" s="12" t="s">
        <v>15</v>
      </c>
      <c r="J8" s="12"/>
      <c r="K8" s="12"/>
      <c r="L8" s="17">
        <f>4*4*L4</f>
        <v>386560</v>
      </c>
      <c r="M8" s="17"/>
      <c r="N8" s="17"/>
      <c r="O8" s="1"/>
      <c r="P8" s="8" t="s">
        <v>29</v>
      </c>
      <c r="Q8" s="8"/>
      <c r="R8" s="8"/>
      <c r="S8" s="9">
        <f>SUM(S4:T6)</f>
        <v>1818799.8199999998</v>
      </c>
      <c r="T8" s="8"/>
      <c r="U8" s="1"/>
      <c r="V8" s="1"/>
      <c r="W8" s="1"/>
      <c r="X8" s="1"/>
    </row>
    <row r="9" spans="1:24" ht="63.75" customHeight="1" x14ac:dyDescent="0.25">
      <c r="A9" s="1"/>
      <c r="B9" s="36" t="s">
        <v>35</v>
      </c>
      <c r="C9" s="37"/>
      <c r="D9" s="37"/>
      <c r="E9" s="38"/>
      <c r="F9" s="12" t="s">
        <v>8</v>
      </c>
      <c r="G9" s="12"/>
      <c r="H9" s="12"/>
      <c r="I9" s="12" t="s">
        <v>14</v>
      </c>
      <c r="J9" s="12"/>
      <c r="K9" s="12"/>
      <c r="L9" s="17">
        <f>10*4*L4</f>
        <v>966400</v>
      </c>
      <c r="M9" s="17"/>
      <c r="N9" s="17"/>
      <c r="O9" s="1"/>
      <c r="P9" s="8" t="s">
        <v>30</v>
      </c>
      <c r="Q9" s="8"/>
      <c r="R9" s="8"/>
      <c r="S9" s="9">
        <f>S8*3</f>
        <v>5456399.459999999</v>
      </c>
      <c r="T9" s="8"/>
      <c r="U9" s="1"/>
      <c r="V9" s="1"/>
      <c r="W9" s="1"/>
      <c r="X9" s="1"/>
    </row>
    <row r="10" spans="1:24" ht="44.25" customHeight="1" x14ac:dyDescent="0.25">
      <c r="A10" s="1"/>
      <c r="B10" s="36" t="s">
        <v>36</v>
      </c>
      <c r="C10" s="37"/>
      <c r="D10" s="37"/>
      <c r="E10" s="38"/>
      <c r="F10" s="12" t="s">
        <v>9</v>
      </c>
      <c r="G10" s="12"/>
      <c r="H10" s="12"/>
      <c r="I10" s="12" t="s">
        <v>16</v>
      </c>
      <c r="J10" s="12"/>
      <c r="K10" s="12"/>
      <c r="L10" s="17">
        <f>14*4*L4</f>
        <v>1352960</v>
      </c>
      <c r="M10" s="17"/>
      <c r="N10" s="17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53.25" customHeight="1" x14ac:dyDescent="0.25">
      <c r="A11" s="1"/>
      <c r="B11" s="36" t="s">
        <v>37</v>
      </c>
      <c r="C11" s="37"/>
      <c r="D11" s="37"/>
      <c r="E11" s="38"/>
      <c r="F11" s="12" t="s">
        <v>10</v>
      </c>
      <c r="G11" s="12"/>
      <c r="H11" s="12"/>
      <c r="I11" s="12" t="s">
        <v>17</v>
      </c>
      <c r="J11" s="12"/>
      <c r="K11" s="12"/>
      <c r="L11" s="17">
        <f>20*4*L4</f>
        <v>1932800</v>
      </c>
      <c r="M11" s="17"/>
      <c r="N11" s="32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44.25" customHeight="1" x14ac:dyDescent="0.25">
      <c r="A12" s="1"/>
      <c r="B12" s="14" t="s">
        <v>11</v>
      </c>
      <c r="C12" s="15"/>
      <c r="D12" s="15"/>
      <c r="E12" s="16"/>
      <c r="F12" s="11" t="s">
        <v>19</v>
      </c>
      <c r="G12" s="11"/>
      <c r="H12" s="11"/>
      <c r="I12" s="14" t="s">
        <v>18</v>
      </c>
      <c r="J12" s="15"/>
      <c r="K12" s="16"/>
      <c r="L12" s="17" t="s">
        <v>20</v>
      </c>
      <c r="M12" s="18"/>
      <c r="N12" s="4">
        <f>SUM(L5:N11)</f>
        <v>7441280</v>
      </c>
      <c r="O12" s="1"/>
      <c r="P12" s="7" t="s">
        <v>38</v>
      </c>
      <c r="Q12" s="7"/>
      <c r="R12" s="7"/>
      <c r="S12" s="7"/>
      <c r="T12" s="5">
        <f>SUM(N12,S9)</f>
        <v>12897679.459999999</v>
      </c>
      <c r="U12" s="1"/>
      <c r="V12" s="1"/>
      <c r="W12" s="1"/>
      <c r="X12" s="1"/>
    </row>
    <row r="13" spans="1:24" ht="44.2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6"/>
      <c r="V13" s="6"/>
      <c r="W13" s="1"/>
      <c r="X13" s="1"/>
    </row>
    <row r="14" spans="1:2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</sheetData>
  <mergeCells count="53">
    <mergeCell ref="L11:N11"/>
    <mergeCell ref="B5:E5"/>
    <mergeCell ref="B6:E6"/>
    <mergeCell ref="B7:E7"/>
    <mergeCell ref="B8:E8"/>
    <mergeCell ref="B9:E9"/>
    <mergeCell ref="B10:E10"/>
    <mergeCell ref="B11:E11"/>
    <mergeCell ref="L4:N4"/>
    <mergeCell ref="L5:N5"/>
    <mergeCell ref="L6:N6"/>
    <mergeCell ref="L7:N7"/>
    <mergeCell ref="L8:N8"/>
    <mergeCell ref="L9:N9"/>
    <mergeCell ref="L10:N10"/>
    <mergeCell ref="F8:H8"/>
    <mergeCell ref="F9:H9"/>
    <mergeCell ref="F12:H12"/>
    <mergeCell ref="I5:K5"/>
    <mergeCell ref="I6:K6"/>
    <mergeCell ref="I7:K7"/>
    <mergeCell ref="I8:K8"/>
    <mergeCell ref="I9:K9"/>
    <mergeCell ref="I10:K10"/>
    <mergeCell ref="I11:K11"/>
    <mergeCell ref="F10:H10"/>
    <mergeCell ref="F11:H11"/>
    <mergeCell ref="I12:K12"/>
    <mergeCell ref="B12:E12"/>
    <mergeCell ref="L12:M12"/>
    <mergeCell ref="I3:K4"/>
    <mergeCell ref="L2:N3"/>
    <mergeCell ref="F3:H4"/>
    <mergeCell ref="F2:K2"/>
    <mergeCell ref="B2:E4"/>
    <mergeCell ref="F5:H5"/>
    <mergeCell ref="F6:H6"/>
    <mergeCell ref="F7:H7"/>
    <mergeCell ref="S6:T6"/>
    <mergeCell ref="Q4:R4"/>
    <mergeCell ref="Q5:R5"/>
    <mergeCell ref="Q6:R6"/>
    <mergeCell ref="S2:T3"/>
    <mergeCell ref="P2:R3"/>
    <mergeCell ref="S4:T4"/>
    <mergeCell ref="S5:T5"/>
    <mergeCell ref="P12:S12"/>
    <mergeCell ref="P7:R7"/>
    <mergeCell ref="S7:T7"/>
    <mergeCell ref="P8:R8"/>
    <mergeCell ref="S8:T8"/>
    <mergeCell ref="P9:R9"/>
    <mergeCell ref="S9:T9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Aarón Esteban</dc:creator>
  <cp:lastModifiedBy>Aarón Esteban</cp:lastModifiedBy>
  <dcterms:created xsi:type="dcterms:W3CDTF">2025-05-21T23:39:12Z</dcterms:created>
  <dcterms:modified xsi:type="dcterms:W3CDTF">2025-06-23T20:23:01Z</dcterms:modified>
</cp:coreProperties>
</file>